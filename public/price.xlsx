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dim/Downloads/"/>
    </mc:Choice>
  </mc:AlternateContent>
  <xr:revisionPtr revIDLastSave="0" documentId="8_{C35159A2-B970-0247-8A12-7CFAA702F408}" xr6:coauthVersionLast="36" xr6:coauthVersionMax="36" xr10:uidLastSave="{00000000-0000-0000-0000-000000000000}"/>
  <bookViews>
    <workbookView xWindow="140" yWindow="500" windowWidth="16800" windowHeight="17500" xr2:uid="{54687A3B-8EC4-F743-B5E5-8547DEFEBDF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I41" i="1"/>
  <c r="I42" i="1"/>
  <c r="I43" i="1"/>
  <c r="I44" i="1"/>
  <c r="I45" i="1"/>
  <c r="I46" i="1"/>
  <c r="H37" i="1"/>
  <c r="H38" i="1"/>
  <c r="H39" i="1"/>
  <c r="H40" i="1"/>
  <c r="H41" i="1"/>
  <c r="H42" i="1"/>
  <c r="H43" i="1"/>
  <c r="H44" i="1"/>
  <c r="H45" i="1"/>
  <c r="H46" i="1"/>
  <c r="H36" i="1"/>
  <c r="I36" i="1"/>
  <c r="F33" i="1"/>
  <c r="I33" i="1" s="1"/>
  <c r="F32" i="1"/>
  <c r="I32" i="1" s="1"/>
  <c r="H26" i="1"/>
  <c r="F25" i="1"/>
  <c r="H24" i="1"/>
  <c r="F23" i="1"/>
  <c r="I37" i="1" l="1"/>
  <c r="I38" i="1"/>
  <c r="I39" i="1"/>
  <c r="I24" i="1"/>
  <c r="I26" i="1"/>
  <c r="H22" i="1" l="1"/>
  <c r="F21" i="1"/>
  <c r="I22" i="1" l="1"/>
  <c r="H10" i="1"/>
  <c r="F9" i="1"/>
  <c r="H14" i="1"/>
  <c r="F13" i="1"/>
  <c r="F6" i="1"/>
  <c r="I6" i="1" s="1"/>
  <c r="F4" i="1"/>
  <c r="I4" i="1" s="1"/>
  <c r="I10" i="1" l="1"/>
  <c r="I14" i="1"/>
  <c r="F34" i="1"/>
  <c r="I34" i="1" s="1"/>
  <c r="F31" i="1" l="1"/>
  <c r="I31" i="1" s="1"/>
  <c r="F30" i="1" l="1"/>
  <c r="I30" i="1" s="1"/>
  <c r="H20" i="1" l="1"/>
  <c r="F19" i="1"/>
  <c r="I20" i="1" l="1"/>
  <c r="F11" i="1" l="1"/>
  <c r="H8" i="1" l="1"/>
  <c r="F7" i="1"/>
  <c r="H5" i="1"/>
  <c r="F15" i="1"/>
  <c r="I5" i="1" l="1"/>
  <c r="I8" i="1"/>
  <c r="H28" i="1" l="1"/>
  <c r="I28" i="1" s="1"/>
  <c r="H27" i="1"/>
  <c r="I27" i="1" s="1"/>
  <c r="H18" i="1"/>
  <c r="H16" i="1"/>
  <c r="H12" i="1"/>
  <c r="H47" i="1" l="1"/>
  <c r="F35" i="1"/>
  <c r="I35" i="1" s="1"/>
  <c r="F17" i="1"/>
  <c r="I16" i="1"/>
  <c r="I12" i="1"/>
  <c r="F47" i="1" l="1"/>
  <c r="I18" i="1"/>
  <c r="I47" i="1" s="1"/>
</calcChain>
</file>

<file path=xl/sharedStrings.xml><?xml version="1.0" encoding="utf-8"?>
<sst xmlns="http://schemas.openxmlformats.org/spreadsheetml/2006/main" count="99" uniqueCount="58">
  <si>
    <t>№ п/п</t>
  </si>
  <si>
    <t>Наименование работ, материалов</t>
  </si>
  <si>
    <t>Ед.изм</t>
  </si>
  <si>
    <t>Объём</t>
  </si>
  <si>
    <t>Всего руб</t>
  </si>
  <si>
    <t>За ед.</t>
  </si>
  <si>
    <t>Всего</t>
  </si>
  <si>
    <t>Раздел: Чистовая электрика</t>
  </si>
  <si>
    <t>шт.</t>
  </si>
  <si>
    <t>Коробка установочная для сплошных стен</t>
  </si>
  <si>
    <t>Коробка распределительная 100х100</t>
  </si>
  <si>
    <t>м.</t>
  </si>
  <si>
    <t>Прокладка Кабеля  (ВВГнг3х6) в штробе или открыто</t>
  </si>
  <si>
    <t>Кабель ВВГнг 3х6</t>
  </si>
  <si>
    <t>Прокладка Кабеля  (ВВГнг3х2,5) в штробе или открыто</t>
  </si>
  <si>
    <t>Кабель ВВГнг 3х2,5</t>
  </si>
  <si>
    <t>Прокладка Кабеля (ВВГнг3х1,5)  в штробе или открыто</t>
  </si>
  <si>
    <t>Кабель ВВГнг 3х1,5</t>
  </si>
  <si>
    <t>Монтаж многомодульных установочных коробок в Пено блоке, кирпиче и бетоне</t>
  </si>
  <si>
    <t>Итого по разделу</t>
  </si>
  <si>
    <t>уп.</t>
  </si>
  <si>
    <t>Работа</t>
  </si>
  <si>
    <t>Метериал</t>
  </si>
  <si>
    <t>Монтаж распределительной коробки</t>
  </si>
  <si>
    <t>Площадка монтажная под пистолет</t>
  </si>
  <si>
    <t>Стяжка нейлоновая</t>
  </si>
  <si>
    <t>Изготовление лунок под установку многомодульных коробок</t>
  </si>
  <si>
    <t>Гвозди монтажные + газ</t>
  </si>
  <si>
    <t>Прокладка Кабеля (ВВГнг2х1,5)  в штробе или открыто</t>
  </si>
  <si>
    <t>Кабель ВВГнг 2х1,5</t>
  </si>
  <si>
    <t>Штроба газоблок</t>
  </si>
  <si>
    <t>м</t>
  </si>
  <si>
    <t>Штроба монолит</t>
  </si>
  <si>
    <t>Заделка штробы</t>
  </si>
  <si>
    <t>Прокладка Кабеля  (ВВГнг3х4) в штробе или открыто</t>
  </si>
  <si>
    <t>Кабель ВВГнг 3х4</t>
  </si>
  <si>
    <t>Прокладка Кабеля  (ВВГнг3х10) в штробе или открыто</t>
  </si>
  <si>
    <t>Кабель ВВГнг 3х10</t>
  </si>
  <si>
    <t>Прокладка Кабеля (ПВС 2х1,5)  в штробе или открыто</t>
  </si>
  <si>
    <t>Кабель ПВС 2х1,5</t>
  </si>
  <si>
    <t>Прокладка Кабеля (UTP 4x2x0,51)  в штробе или открыто</t>
  </si>
  <si>
    <t>Кабель UTP 4x2x0,51</t>
  </si>
  <si>
    <t>Прокладка телевизионного кабеля (SAT 703)  в штробе или открыто</t>
  </si>
  <si>
    <t>Кабель SAT 703</t>
  </si>
  <si>
    <t xml:space="preserve">Реле напряжения 2п 40А </t>
  </si>
  <si>
    <t>Дифференциальный автоматический выключатель 2п 32А</t>
  </si>
  <si>
    <t>Дифференциальный автоматический выключатель 2п 16А</t>
  </si>
  <si>
    <t>Выключатель автоматический 2п 40А</t>
  </si>
  <si>
    <t>Выключатель автоматический 1п 16А</t>
  </si>
  <si>
    <t>Выключатель автоматический 1п 10А</t>
  </si>
  <si>
    <t>Iина медная двухфазная, однофазная, наконечники НШВИ, провод ПУГВ</t>
  </si>
  <si>
    <t>Щит накладной ЩРН-П 18 мод</t>
  </si>
  <si>
    <t>Щит накладной ЩРН-П 24 мод</t>
  </si>
  <si>
    <t>Штробление под щит газоблок</t>
  </si>
  <si>
    <t>Штробление под щит бетон</t>
  </si>
  <si>
    <t>Щит навесной установка и расключение</t>
  </si>
  <si>
    <t>Щит встраиваемый ЩРВ-П 18 мод</t>
  </si>
  <si>
    <t>Щит встраиваемый ЩРВ-П 24 мод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</si>
</sst>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Book Antiqua"/>
      <family val="1"/>
      <charset val="204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name val="Book Antiqua"/>
      <family val="1"/>
      <charset val="204"/>
    </font>
    <font>
      <sz val="11"/>
      <color theme="1"/>
      <name val="Book Antiqua"/>
      <family val="1"/>
      <charset val="20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sz val="11"/>
      <color indexed="8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2" fontId="2" fillId="0" borderId="2" xfId="0" applyNumberFormat="1" applyFont="1" applyBorder="1" applyAlignment="1">
      <alignment shrinkToFit="1"/>
    </xf>
    <xf numFmtId="2" fontId="2" fillId="0" borderId="1" xfId="0" applyNumberFormat="1" applyFont="1" applyBorder="1" applyAlignment="1">
      <alignment horizontal="center" vertical="center" shrinkToFit="1"/>
    </xf>
    <xf numFmtId="2" fontId="2" fillId="0" borderId="7" xfId="0" applyNumberFormat="1" applyFont="1" applyBorder="1" applyAlignment="1">
      <alignment shrinkToFit="1"/>
    </xf>
    <xf numFmtId="2" fontId="2" fillId="0" borderId="8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2" fontId="3" fillId="2" borderId="9" xfId="0" applyNumberFormat="1" applyFont="1" applyFill="1" applyBorder="1" applyAlignment="1">
      <alignment horizontal="center" shrinkToFit="1"/>
    </xf>
    <xf numFmtId="0" fontId="2" fillId="2" borderId="3" xfId="0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shrinkToFit="1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shrinkToFit="1"/>
    </xf>
    <xf numFmtId="0" fontId="6" fillId="3" borderId="3" xfId="0" applyFont="1" applyFill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shrinkToFit="1"/>
    </xf>
    <xf numFmtId="2" fontId="3" fillId="0" borderId="6" xfId="0" applyNumberFormat="1" applyFont="1" applyBorder="1" applyAlignment="1">
      <alignment horizontal="center" vertical="center" shrinkToFit="1"/>
    </xf>
    <xf numFmtId="0" fontId="6" fillId="3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wrapText="1"/>
    </xf>
    <xf numFmtId="0" fontId="10" fillId="0" borderId="3" xfId="0" applyFont="1" applyBorder="1" applyAlignment="1">
      <alignment horizontal="center" wrapText="1"/>
    </xf>
    <xf numFmtId="2" fontId="3" fillId="4" borderId="5" xfId="0" applyNumberFormat="1" applyFont="1" applyFill="1" applyBorder="1" applyAlignment="1">
      <alignment shrinkToFit="1"/>
    </xf>
    <xf numFmtId="0" fontId="0" fillId="4" borderId="3" xfId="0" applyFill="1" applyBorder="1" applyAlignment="1">
      <alignment horizontal="center" wrapText="1"/>
    </xf>
    <xf numFmtId="2" fontId="8" fillId="4" borderId="3" xfId="0" applyNumberFormat="1" applyFont="1" applyFill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 shrinkToFit="1"/>
    </xf>
    <xf numFmtId="2" fontId="11" fillId="0" borderId="3" xfId="0" applyNumberFormat="1" applyFont="1" applyBorder="1" applyAlignment="1">
      <alignment horizontal="center" vertical="center" shrinkToFit="1"/>
    </xf>
    <xf numFmtId="2" fontId="12" fillId="0" borderId="3" xfId="0" applyNumberFormat="1" applyFont="1" applyBorder="1" applyAlignment="1">
      <alignment horizontal="center" vertical="center" shrinkToFit="1"/>
    </xf>
    <xf numFmtId="2" fontId="13" fillId="0" borderId="6" xfId="0" applyNumberFormat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shrinkToFit="1"/>
    </xf>
    <xf numFmtId="2" fontId="2" fillId="0" borderId="5" xfId="0" applyNumberFormat="1" applyFont="1" applyBorder="1" applyAlignment="1">
      <alignment horizontal="center" vertical="center" shrinkToFit="1"/>
    </xf>
    <xf numFmtId="0" fontId="1" fillId="3" borderId="3" xfId="0" applyFont="1" applyFill="1" applyBorder="1" applyAlignment="1">
      <alignment horizontal="center" wrapText="1"/>
    </xf>
    <xf numFmtId="0" fontId="0" fillId="3" borderId="0" xfId="0" applyFill="1"/>
    <xf numFmtId="1" fontId="2" fillId="0" borderId="1" xfId="0" applyNumberFormat="1" applyFont="1" applyBorder="1" applyAlignment="1">
      <alignment horizontal="center" vertical="center" shrinkToFit="1"/>
    </xf>
    <xf numFmtId="1" fontId="3" fillId="2" borderId="9" xfId="0" applyNumberFormat="1" applyFont="1" applyFill="1" applyBorder="1" applyAlignment="1">
      <alignment horizont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9" fillId="0" borderId="3" xfId="0" applyNumberFormat="1" applyFont="1" applyBorder="1" applyAlignment="1">
      <alignment horizontal="center" vertical="center" wrapText="1"/>
    </xf>
    <xf numFmtId="1" fontId="3" fillId="4" borderId="3" xfId="0" applyNumberFormat="1" applyFont="1" applyFill="1" applyBorder="1" applyAlignment="1">
      <alignment horizontal="center" vertical="center" shrinkToFi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CC68-EBF4-924C-8E06-FD9AEC8E4A18}">
  <dimension ref="A1:I47"/>
  <sheetViews>
    <sheetView tabSelected="1" workbookViewId="0">
      <selection activeCell="B51" sqref="B51"/>
    </sheetView>
  </sheetViews>
  <sheetFormatPr baseColWidth="10" defaultRowHeight="16" x14ac:dyDescent="0.2"/>
  <cols>
    <col min="1" max="1" width="8.5" customWidth="1"/>
    <col min="2" max="2" width="41.6640625" customWidth="1"/>
    <col min="3" max="3" width="9.83203125" customWidth="1"/>
    <col min="4" max="5" width="10.33203125" customWidth="1"/>
    <col min="7" max="7" width="9.6640625" style="41" customWidth="1"/>
  </cols>
  <sheetData>
    <row r="1" spans="1:9" x14ac:dyDescent="0.2">
      <c r="A1" s="29" t="s">
        <v>0</v>
      </c>
      <c r="B1" s="1" t="s">
        <v>1</v>
      </c>
      <c r="C1" s="2" t="s">
        <v>2</v>
      </c>
      <c r="D1" s="2" t="s">
        <v>3</v>
      </c>
      <c r="E1" s="31" t="s">
        <v>21</v>
      </c>
      <c r="F1" s="31"/>
      <c r="G1" s="32" t="s">
        <v>22</v>
      </c>
      <c r="H1" s="33"/>
      <c r="I1" s="31" t="s">
        <v>4</v>
      </c>
    </row>
    <row r="2" spans="1:9" x14ac:dyDescent="0.2">
      <c r="A2" s="30"/>
      <c r="B2" s="3"/>
      <c r="C2" s="4"/>
      <c r="D2" s="4"/>
      <c r="E2" s="5" t="s">
        <v>5</v>
      </c>
      <c r="F2" s="5" t="s">
        <v>6</v>
      </c>
      <c r="G2" s="36" t="s">
        <v>5</v>
      </c>
      <c r="H2" s="2" t="s">
        <v>6</v>
      </c>
      <c r="I2" s="31"/>
    </row>
    <row r="3" spans="1:9" x14ac:dyDescent="0.2">
      <c r="A3" s="6"/>
      <c r="B3" s="7" t="s">
        <v>7</v>
      </c>
      <c r="C3" s="7"/>
      <c r="D3" s="7"/>
      <c r="E3" s="8"/>
      <c r="F3" s="8"/>
      <c r="G3" s="37"/>
      <c r="H3" s="9"/>
      <c r="I3" s="8"/>
    </row>
    <row r="4" spans="1:9" s="35" customFormat="1" ht="34" x14ac:dyDescent="0.2">
      <c r="A4" s="34">
        <v>1</v>
      </c>
      <c r="B4" s="10" t="s">
        <v>26</v>
      </c>
      <c r="C4" s="11" t="s">
        <v>8</v>
      </c>
      <c r="D4" s="12">
        <v>1</v>
      </c>
      <c r="E4" s="13">
        <v>400</v>
      </c>
      <c r="F4" s="14">
        <f t="shared" ref="F4" si="0">E4*D4</f>
        <v>400</v>
      </c>
      <c r="G4" s="38"/>
      <c r="H4" s="15"/>
      <c r="I4" s="25">
        <f t="shared" ref="I4" si="1">F4</f>
        <v>400</v>
      </c>
    </row>
    <row r="5" spans="1:9" ht="33" customHeight="1" x14ac:dyDescent="0.2">
      <c r="A5" s="6">
        <v>2</v>
      </c>
      <c r="B5" s="16" t="s">
        <v>9</v>
      </c>
      <c r="C5" s="11" t="s">
        <v>8</v>
      </c>
      <c r="D5" s="27">
        <v>1</v>
      </c>
      <c r="E5" s="13"/>
      <c r="F5" s="14"/>
      <c r="G5" s="38">
        <v>25</v>
      </c>
      <c r="H5" s="15">
        <f>G5*D5</f>
        <v>25</v>
      </c>
      <c r="I5" s="25">
        <f>H5</f>
        <v>25</v>
      </c>
    </row>
    <row r="6" spans="1:9" ht="33" customHeight="1" x14ac:dyDescent="0.2">
      <c r="A6" s="34">
        <v>3</v>
      </c>
      <c r="B6" s="10" t="s">
        <v>18</v>
      </c>
      <c r="C6" s="11" t="s">
        <v>8</v>
      </c>
      <c r="D6" s="12">
        <v>1</v>
      </c>
      <c r="E6" s="13">
        <v>100</v>
      </c>
      <c r="F6" s="14">
        <f t="shared" ref="F6" si="2">E6*D6</f>
        <v>100</v>
      </c>
      <c r="G6" s="38"/>
      <c r="H6" s="15"/>
      <c r="I6" s="25">
        <f t="shared" ref="I6" si="3">F6</f>
        <v>100</v>
      </c>
    </row>
    <row r="7" spans="1:9" ht="33" customHeight="1" x14ac:dyDescent="0.2">
      <c r="A7" s="6">
        <v>4</v>
      </c>
      <c r="B7" s="10" t="s">
        <v>23</v>
      </c>
      <c r="C7" s="11" t="s">
        <v>8</v>
      </c>
      <c r="D7" s="12">
        <v>1</v>
      </c>
      <c r="E7" s="13">
        <v>750</v>
      </c>
      <c r="F7" s="14">
        <f>E7*D7</f>
        <v>750</v>
      </c>
      <c r="G7" s="38"/>
      <c r="H7" s="15"/>
      <c r="I7" s="25"/>
    </row>
    <row r="8" spans="1:9" ht="33" customHeight="1" x14ac:dyDescent="0.2">
      <c r="A8" s="34">
        <v>5</v>
      </c>
      <c r="B8" s="16" t="s">
        <v>10</v>
      </c>
      <c r="C8" s="11" t="s">
        <v>8</v>
      </c>
      <c r="D8" s="27"/>
      <c r="E8" s="13"/>
      <c r="F8" s="14"/>
      <c r="G8" s="38">
        <v>130</v>
      </c>
      <c r="H8" s="15">
        <f>G8*D7</f>
        <v>130</v>
      </c>
      <c r="I8" s="25">
        <f>F7+H8</f>
        <v>880</v>
      </c>
    </row>
    <row r="9" spans="1:9" ht="33" customHeight="1" x14ac:dyDescent="0.2">
      <c r="A9" s="6">
        <v>6</v>
      </c>
      <c r="B9" s="10" t="s">
        <v>36</v>
      </c>
      <c r="C9" s="11" t="s">
        <v>11</v>
      </c>
      <c r="D9" s="12">
        <v>1</v>
      </c>
      <c r="E9" s="13">
        <v>150</v>
      </c>
      <c r="F9" s="14">
        <f>E9*D9</f>
        <v>150</v>
      </c>
      <c r="G9" s="38"/>
      <c r="H9" s="15"/>
      <c r="I9" s="25"/>
    </row>
    <row r="10" spans="1:9" ht="33" customHeight="1" x14ac:dyDescent="0.2">
      <c r="A10" s="34">
        <v>7</v>
      </c>
      <c r="B10" s="16" t="s">
        <v>37</v>
      </c>
      <c r="C10" s="11" t="s">
        <v>11</v>
      </c>
      <c r="D10" s="12"/>
      <c r="E10" s="13"/>
      <c r="F10" s="14"/>
      <c r="G10" s="38">
        <v>520</v>
      </c>
      <c r="H10" s="15">
        <f>G10*D9</f>
        <v>520</v>
      </c>
      <c r="I10" s="26">
        <f>H10+F9</f>
        <v>670</v>
      </c>
    </row>
    <row r="11" spans="1:9" ht="33" customHeight="1" x14ac:dyDescent="0.2">
      <c r="A11" s="6">
        <v>8</v>
      </c>
      <c r="B11" s="10" t="s">
        <v>12</v>
      </c>
      <c r="C11" s="11" t="s">
        <v>11</v>
      </c>
      <c r="D11" s="12">
        <v>1</v>
      </c>
      <c r="E11" s="13">
        <v>150</v>
      </c>
      <c r="F11" s="14">
        <f>E11*D11</f>
        <v>150</v>
      </c>
      <c r="G11" s="38"/>
      <c r="H11" s="15"/>
      <c r="I11" s="25"/>
    </row>
    <row r="12" spans="1:9" ht="33" customHeight="1" x14ac:dyDescent="0.2">
      <c r="A12" s="34">
        <v>9</v>
      </c>
      <c r="B12" s="16" t="s">
        <v>13</v>
      </c>
      <c r="C12" s="11" t="s">
        <v>11</v>
      </c>
      <c r="D12" s="12"/>
      <c r="E12" s="13"/>
      <c r="F12" s="14"/>
      <c r="G12" s="38">
        <v>290</v>
      </c>
      <c r="H12" s="15">
        <f>G12*D11</f>
        <v>290</v>
      </c>
      <c r="I12" s="26">
        <f>H12+F11</f>
        <v>440</v>
      </c>
    </row>
    <row r="13" spans="1:9" ht="33" customHeight="1" x14ac:dyDescent="0.2">
      <c r="A13" s="6">
        <v>10</v>
      </c>
      <c r="B13" s="10" t="s">
        <v>34</v>
      </c>
      <c r="C13" s="11" t="s">
        <v>11</v>
      </c>
      <c r="D13" s="12">
        <v>1</v>
      </c>
      <c r="E13" s="13">
        <v>150</v>
      </c>
      <c r="F13" s="14">
        <f>E13*D13</f>
        <v>150</v>
      </c>
      <c r="G13" s="38"/>
      <c r="H13" s="15"/>
      <c r="I13" s="25"/>
    </row>
    <row r="14" spans="1:9" ht="33" customHeight="1" x14ac:dyDescent="0.2">
      <c r="A14" s="34">
        <v>11</v>
      </c>
      <c r="B14" s="16" t="s">
        <v>35</v>
      </c>
      <c r="C14" s="11" t="s">
        <v>11</v>
      </c>
      <c r="D14" s="12"/>
      <c r="E14" s="13"/>
      <c r="F14" s="14"/>
      <c r="G14" s="38">
        <v>210</v>
      </c>
      <c r="H14" s="15">
        <f>G14*D13</f>
        <v>210</v>
      </c>
      <c r="I14" s="26">
        <f>H14+F13</f>
        <v>360</v>
      </c>
    </row>
    <row r="15" spans="1:9" ht="33" customHeight="1" x14ac:dyDescent="0.2">
      <c r="A15" s="6">
        <v>12</v>
      </c>
      <c r="B15" s="10" t="s">
        <v>14</v>
      </c>
      <c r="C15" s="11" t="s">
        <v>11</v>
      </c>
      <c r="D15" s="12">
        <v>1</v>
      </c>
      <c r="E15" s="13">
        <v>150</v>
      </c>
      <c r="F15" s="14">
        <f>E15*D15</f>
        <v>150</v>
      </c>
      <c r="G15" s="38"/>
      <c r="H15" s="15"/>
      <c r="I15" s="25"/>
    </row>
    <row r="16" spans="1:9" ht="33" customHeight="1" x14ac:dyDescent="0.2">
      <c r="A16" s="34">
        <v>13</v>
      </c>
      <c r="B16" s="16" t="s">
        <v>15</v>
      </c>
      <c r="C16" s="11" t="s">
        <v>11</v>
      </c>
      <c r="D16" s="12"/>
      <c r="E16" s="13"/>
      <c r="F16" s="14"/>
      <c r="G16" s="38">
        <v>115</v>
      </c>
      <c r="H16" s="15">
        <f>G16*D15</f>
        <v>115</v>
      </c>
      <c r="I16" s="26">
        <f>H16+F15</f>
        <v>265</v>
      </c>
    </row>
    <row r="17" spans="1:9" ht="33" customHeight="1" x14ac:dyDescent="0.2">
      <c r="A17" s="6">
        <v>14</v>
      </c>
      <c r="B17" s="10" t="s">
        <v>16</v>
      </c>
      <c r="C17" s="11" t="s">
        <v>11</v>
      </c>
      <c r="D17" s="12">
        <v>1</v>
      </c>
      <c r="E17" s="13">
        <v>100</v>
      </c>
      <c r="F17" s="14">
        <f>E17*D17</f>
        <v>100</v>
      </c>
      <c r="G17" s="38"/>
      <c r="H17" s="15"/>
      <c r="I17" s="25"/>
    </row>
    <row r="18" spans="1:9" ht="33" customHeight="1" x14ac:dyDescent="0.2">
      <c r="A18" s="34">
        <v>15</v>
      </c>
      <c r="B18" s="16" t="s">
        <v>17</v>
      </c>
      <c r="C18" s="11" t="s">
        <v>11</v>
      </c>
      <c r="D18" s="12"/>
      <c r="E18" s="13"/>
      <c r="F18" s="14"/>
      <c r="G18" s="38">
        <v>80</v>
      </c>
      <c r="H18" s="15">
        <f>G18*D17</f>
        <v>80</v>
      </c>
      <c r="I18" s="26">
        <f>H18+F17</f>
        <v>180</v>
      </c>
    </row>
    <row r="19" spans="1:9" ht="33" customHeight="1" x14ac:dyDescent="0.2">
      <c r="A19" s="6">
        <v>16</v>
      </c>
      <c r="B19" s="10" t="s">
        <v>28</v>
      </c>
      <c r="C19" s="11" t="s">
        <v>11</v>
      </c>
      <c r="D19" s="12">
        <v>1</v>
      </c>
      <c r="E19" s="13">
        <v>100</v>
      </c>
      <c r="F19" s="14">
        <f>E19*D19</f>
        <v>100</v>
      </c>
      <c r="G19" s="38"/>
      <c r="H19" s="15"/>
      <c r="I19" s="25"/>
    </row>
    <row r="20" spans="1:9" ht="33" customHeight="1" x14ac:dyDescent="0.2">
      <c r="A20" s="34">
        <v>17</v>
      </c>
      <c r="B20" s="16" t="s">
        <v>29</v>
      </c>
      <c r="C20" s="11" t="s">
        <v>11</v>
      </c>
      <c r="D20" s="12"/>
      <c r="E20" s="13"/>
      <c r="F20" s="14"/>
      <c r="G20" s="38">
        <v>60</v>
      </c>
      <c r="H20" s="15">
        <f>G20*D19</f>
        <v>60</v>
      </c>
      <c r="I20" s="26">
        <f>H20+F19</f>
        <v>160</v>
      </c>
    </row>
    <row r="21" spans="1:9" ht="33" customHeight="1" x14ac:dyDescent="0.2">
      <c r="A21" s="34">
        <v>18</v>
      </c>
      <c r="B21" s="10" t="s">
        <v>38</v>
      </c>
      <c r="C21" s="11" t="s">
        <v>11</v>
      </c>
      <c r="D21" s="12">
        <v>1</v>
      </c>
      <c r="E21" s="13">
        <v>100</v>
      </c>
      <c r="F21" s="14">
        <f>E21*D21</f>
        <v>100</v>
      </c>
      <c r="G21" s="38"/>
      <c r="H21" s="15"/>
      <c r="I21" s="25"/>
    </row>
    <row r="22" spans="1:9" ht="33" customHeight="1" x14ac:dyDescent="0.2">
      <c r="A22" s="6">
        <v>19</v>
      </c>
      <c r="B22" s="16" t="s">
        <v>39</v>
      </c>
      <c r="C22" s="11" t="s">
        <v>11</v>
      </c>
      <c r="D22" s="12"/>
      <c r="E22" s="13"/>
      <c r="F22" s="14"/>
      <c r="G22" s="38">
        <v>62</v>
      </c>
      <c r="H22" s="15">
        <f>G22*D21</f>
        <v>62</v>
      </c>
      <c r="I22" s="26">
        <f>H22+F21</f>
        <v>162</v>
      </c>
    </row>
    <row r="23" spans="1:9" ht="33" customHeight="1" x14ac:dyDescent="0.2">
      <c r="A23" s="34">
        <v>20</v>
      </c>
      <c r="B23" s="10" t="s">
        <v>40</v>
      </c>
      <c r="C23" s="11" t="s">
        <v>11</v>
      </c>
      <c r="D23" s="12">
        <v>1</v>
      </c>
      <c r="E23" s="13">
        <v>50</v>
      </c>
      <c r="F23" s="14">
        <f>E23*D23</f>
        <v>50</v>
      </c>
      <c r="G23" s="38"/>
      <c r="H23" s="15"/>
      <c r="I23" s="25"/>
    </row>
    <row r="24" spans="1:9" ht="33" customHeight="1" x14ac:dyDescent="0.2">
      <c r="A24" s="6">
        <v>21</v>
      </c>
      <c r="B24" s="16" t="s">
        <v>41</v>
      </c>
      <c r="C24" s="11" t="s">
        <v>11</v>
      </c>
      <c r="D24" s="12"/>
      <c r="E24" s="13"/>
      <c r="F24" s="14"/>
      <c r="G24" s="38">
        <v>58</v>
      </c>
      <c r="H24" s="15">
        <f>G24*D23</f>
        <v>58</v>
      </c>
      <c r="I24" s="26">
        <f>H24+F23</f>
        <v>108</v>
      </c>
    </row>
    <row r="25" spans="1:9" ht="33" customHeight="1" x14ac:dyDescent="0.2">
      <c r="A25" s="34">
        <v>22</v>
      </c>
      <c r="B25" s="10" t="s">
        <v>42</v>
      </c>
      <c r="C25" s="11" t="s">
        <v>11</v>
      </c>
      <c r="D25" s="12">
        <v>1</v>
      </c>
      <c r="E25" s="13">
        <v>50</v>
      </c>
      <c r="F25" s="14">
        <f>E25*D25</f>
        <v>50</v>
      </c>
      <c r="G25" s="38"/>
      <c r="H25" s="15"/>
      <c r="I25" s="25"/>
    </row>
    <row r="26" spans="1:9" ht="33" customHeight="1" x14ac:dyDescent="0.2">
      <c r="A26" s="6">
        <v>23</v>
      </c>
      <c r="B26" s="16" t="s">
        <v>43</v>
      </c>
      <c r="C26" s="11" t="s">
        <v>11</v>
      </c>
      <c r="D26" s="12"/>
      <c r="E26" s="13"/>
      <c r="F26" s="14"/>
      <c r="G26" s="38">
        <v>55</v>
      </c>
      <c r="H26" s="15">
        <f>G26*D25</f>
        <v>55</v>
      </c>
      <c r="I26" s="26">
        <f>H26+F25</f>
        <v>105</v>
      </c>
    </row>
    <row r="27" spans="1:9" ht="33" customHeight="1" x14ac:dyDescent="0.2">
      <c r="A27" s="34">
        <v>24</v>
      </c>
      <c r="B27" s="16" t="s">
        <v>24</v>
      </c>
      <c r="C27" s="11" t="s">
        <v>20</v>
      </c>
      <c r="D27" s="27">
        <v>1</v>
      </c>
      <c r="E27" s="13"/>
      <c r="F27" s="14"/>
      <c r="G27" s="38">
        <v>410</v>
      </c>
      <c r="H27" s="15">
        <f>G27*D27</f>
        <v>410</v>
      </c>
      <c r="I27" s="26">
        <f>H27</f>
        <v>410</v>
      </c>
    </row>
    <row r="28" spans="1:9" ht="33" customHeight="1" x14ac:dyDescent="0.2">
      <c r="A28" s="6">
        <v>25</v>
      </c>
      <c r="B28" s="16" t="s">
        <v>25</v>
      </c>
      <c r="C28" s="11" t="s">
        <v>20</v>
      </c>
      <c r="D28" s="27">
        <v>1</v>
      </c>
      <c r="E28" s="13"/>
      <c r="F28" s="14"/>
      <c r="G28" s="38">
        <v>190</v>
      </c>
      <c r="H28" s="15">
        <f>G28*D28</f>
        <v>190</v>
      </c>
      <c r="I28" s="26">
        <f>H28</f>
        <v>190</v>
      </c>
    </row>
    <row r="29" spans="1:9" ht="33" customHeight="1" x14ac:dyDescent="0.2">
      <c r="A29" s="34">
        <v>26</v>
      </c>
      <c r="B29" s="16" t="s">
        <v>27</v>
      </c>
      <c r="C29" s="11" t="s">
        <v>20</v>
      </c>
      <c r="D29" s="27">
        <v>1</v>
      </c>
      <c r="E29" s="13"/>
      <c r="F29" s="14"/>
      <c r="G29" s="38">
        <v>2400</v>
      </c>
      <c r="H29" s="15">
        <v>2400</v>
      </c>
      <c r="I29" s="15">
        <v>2400</v>
      </c>
    </row>
    <row r="30" spans="1:9" ht="33" customHeight="1" x14ac:dyDescent="0.2">
      <c r="A30" s="6">
        <v>27</v>
      </c>
      <c r="B30" s="16" t="s">
        <v>30</v>
      </c>
      <c r="C30" s="11" t="s">
        <v>31</v>
      </c>
      <c r="D30" s="27">
        <v>1</v>
      </c>
      <c r="E30" s="13">
        <v>400</v>
      </c>
      <c r="F30" s="14">
        <f>E30*D30</f>
        <v>400</v>
      </c>
      <c r="G30" s="38"/>
      <c r="H30" s="15"/>
      <c r="I30" s="15">
        <f t="shared" ref="I30:I34" si="4">F30</f>
        <v>400</v>
      </c>
    </row>
    <row r="31" spans="1:9" ht="33" customHeight="1" x14ac:dyDescent="0.2">
      <c r="A31" s="34">
        <v>28</v>
      </c>
      <c r="B31" s="16" t="s">
        <v>32</v>
      </c>
      <c r="C31" s="11" t="s">
        <v>31</v>
      </c>
      <c r="D31" s="27">
        <v>1</v>
      </c>
      <c r="E31" s="13">
        <v>800</v>
      </c>
      <c r="F31" s="14">
        <f>E31*D31</f>
        <v>800</v>
      </c>
      <c r="G31" s="38"/>
      <c r="H31" s="15"/>
      <c r="I31" s="15">
        <f t="shared" si="4"/>
        <v>800</v>
      </c>
    </row>
    <row r="32" spans="1:9" ht="33" customHeight="1" x14ac:dyDescent="0.2">
      <c r="A32" s="34">
        <v>29</v>
      </c>
      <c r="B32" s="16" t="s">
        <v>53</v>
      </c>
      <c r="C32" s="11" t="s">
        <v>8</v>
      </c>
      <c r="D32" s="27">
        <v>1</v>
      </c>
      <c r="E32" s="13">
        <v>3000</v>
      </c>
      <c r="F32" s="14">
        <f>E32*D32</f>
        <v>3000</v>
      </c>
      <c r="G32" s="38"/>
      <c r="H32" s="15"/>
      <c r="I32" s="15">
        <f t="shared" ref="I32:I33" si="5">F32</f>
        <v>3000</v>
      </c>
    </row>
    <row r="33" spans="1:9" ht="33" customHeight="1" x14ac:dyDescent="0.2">
      <c r="A33" s="6">
        <v>30</v>
      </c>
      <c r="B33" s="16" t="s">
        <v>54</v>
      </c>
      <c r="C33" s="11" t="s">
        <v>8</v>
      </c>
      <c r="D33" s="27">
        <v>1</v>
      </c>
      <c r="E33" s="13">
        <v>5000</v>
      </c>
      <c r="F33" s="14">
        <f>E33*D33</f>
        <v>5000</v>
      </c>
      <c r="G33" s="38"/>
      <c r="H33" s="15"/>
      <c r="I33" s="15">
        <f t="shared" si="5"/>
        <v>5000</v>
      </c>
    </row>
    <row r="34" spans="1:9" ht="33" customHeight="1" x14ac:dyDescent="0.2">
      <c r="A34" s="34">
        <v>31</v>
      </c>
      <c r="B34" s="16" t="s">
        <v>33</v>
      </c>
      <c r="C34" s="11" t="s">
        <v>31</v>
      </c>
      <c r="D34" s="27">
        <v>1</v>
      </c>
      <c r="E34" s="13">
        <v>100</v>
      </c>
      <c r="F34" s="14">
        <f>E34*D34</f>
        <v>100</v>
      </c>
      <c r="G34" s="38"/>
      <c r="H34" s="15"/>
      <c r="I34" s="15">
        <f t="shared" si="4"/>
        <v>100</v>
      </c>
    </row>
    <row r="35" spans="1:9" ht="21" customHeight="1" x14ac:dyDescent="0.2">
      <c r="A35" s="6">
        <v>32</v>
      </c>
      <c r="B35" s="17" t="s">
        <v>55</v>
      </c>
      <c r="C35" s="18" t="s">
        <v>8</v>
      </c>
      <c r="D35" s="12">
        <v>1</v>
      </c>
      <c r="E35" s="28">
        <v>5000</v>
      </c>
      <c r="F35" s="14">
        <f t="shared" ref="F35:F40" si="6">E35*D35</f>
        <v>5000</v>
      </c>
      <c r="G35" s="38"/>
      <c r="H35" s="15"/>
      <c r="I35" s="25">
        <f>H35+F35</f>
        <v>5000</v>
      </c>
    </row>
    <row r="36" spans="1:9" ht="25" customHeight="1" x14ac:dyDescent="0.2">
      <c r="A36" s="34">
        <v>33</v>
      </c>
      <c r="B36" s="17" t="s">
        <v>51</v>
      </c>
      <c r="C36" s="18" t="s">
        <v>8</v>
      </c>
      <c r="D36" s="12">
        <v>1</v>
      </c>
      <c r="E36" s="28"/>
      <c r="F36" s="14"/>
      <c r="G36" s="39">
        <v>1950</v>
      </c>
      <c r="H36" s="15">
        <f>G36*D36</f>
        <v>1950</v>
      </c>
      <c r="I36" s="25">
        <f>H36+F36</f>
        <v>1950</v>
      </c>
    </row>
    <row r="37" spans="1:9" ht="25" customHeight="1" x14ac:dyDescent="0.2">
      <c r="A37" s="6">
        <v>34</v>
      </c>
      <c r="B37" s="17" t="s">
        <v>52</v>
      </c>
      <c r="C37" s="18" t="s">
        <v>8</v>
      </c>
      <c r="D37" s="12">
        <v>1</v>
      </c>
      <c r="E37" s="28"/>
      <c r="F37" s="14"/>
      <c r="G37" s="39">
        <v>2600</v>
      </c>
      <c r="H37" s="15">
        <f t="shared" ref="H37:H46" si="7">G37*D37</f>
        <v>2600</v>
      </c>
      <c r="I37" s="25">
        <f>H37+F37</f>
        <v>2600</v>
      </c>
    </row>
    <row r="38" spans="1:9" ht="25" customHeight="1" x14ac:dyDescent="0.2">
      <c r="A38" s="34">
        <v>35</v>
      </c>
      <c r="B38" s="17" t="s">
        <v>56</v>
      </c>
      <c r="C38" s="18" t="s">
        <v>8</v>
      </c>
      <c r="D38" s="12">
        <v>1</v>
      </c>
      <c r="E38" s="28"/>
      <c r="F38" s="14"/>
      <c r="G38" s="39">
        <v>2050</v>
      </c>
      <c r="H38" s="15">
        <f t="shared" si="7"/>
        <v>2050</v>
      </c>
      <c r="I38" s="25">
        <f>H38+F38</f>
        <v>2050</v>
      </c>
    </row>
    <row r="39" spans="1:9" ht="25" customHeight="1" x14ac:dyDescent="0.2">
      <c r="A39" s="6">
        <v>36</v>
      </c>
      <c r="B39" s="17" t="s">
        <v>57</v>
      </c>
      <c r="C39" s="18" t="s">
        <v>8</v>
      </c>
      <c r="D39" s="12">
        <v>1</v>
      </c>
      <c r="E39" s="28"/>
      <c r="F39" s="14"/>
      <c r="G39" s="39">
        <v>2800</v>
      </c>
      <c r="H39" s="15">
        <f t="shared" si="7"/>
        <v>2800</v>
      </c>
      <c r="I39" s="25">
        <f>H39+F39</f>
        <v>2800</v>
      </c>
    </row>
    <row r="40" spans="1:9" ht="19" customHeight="1" x14ac:dyDescent="0.2">
      <c r="A40" s="34">
        <v>37</v>
      </c>
      <c r="B40" s="17" t="s">
        <v>44</v>
      </c>
      <c r="C40" s="18" t="s">
        <v>8</v>
      </c>
      <c r="D40" s="12">
        <v>1</v>
      </c>
      <c r="E40" s="28"/>
      <c r="F40" s="14"/>
      <c r="G40" s="39">
        <v>3000</v>
      </c>
      <c r="H40" s="15">
        <f t="shared" si="7"/>
        <v>3000</v>
      </c>
      <c r="I40" s="25">
        <f t="shared" ref="I40:I46" si="8">H40+F40</f>
        <v>3000</v>
      </c>
    </row>
    <row r="41" spans="1:9" ht="20" customHeight="1" x14ac:dyDescent="0.2">
      <c r="A41" s="6">
        <v>38</v>
      </c>
      <c r="B41" s="17" t="s">
        <v>47</v>
      </c>
      <c r="C41" s="18" t="s">
        <v>8</v>
      </c>
      <c r="D41" s="12">
        <v>1</v>
      </c>
      <c r="E41" s="28"/>
      <c r="F41" s="14"/>
      <c r="G41" s="39">
        <v>725</v>
      </c>
      <c r="H41" s="15">
        <f t="shared" si="7"/>
        <v>725</v>
      </c>
      <c r="I41" s="25">
        <f t="shared" si="8"/>
        <v>725</v>
      </c>
    </row>
    <row r="42" spans="1:9" ht="33" customHeight="1" x14ac:dyDescent="0.2">
      <c r="A42" s="34">
        <v>39</v>
      </c>
      <c r="B42" s="17" t="s">
        <v>45</v>
      </c>
      <c r="C42" s="18" t="s">
        <v>8</v>
      </c>
      <c r="D42" s="12">
        <v>1</v>
      </c>
      <c r="E42" s="28"/>
      <c r="F42" s="14"/>
      <c r="G42" s="39">
        <v>1600</v>
      </c>
      <c r="H42" s="15">
        <f t="shared" si="7"/>
        <v>1600</v>
      </c>
      <c r="I42" s="25">
        <f t="shared" si="8"/>
        <v>1600</v>
      </c>
    </row>
    <row r="43" spans="1:9" ht="33" customHeight="1" x14ac:dyDescent="0.2">
      <c r="A43" s="6">
        <v>40</v>
      </c>
      <c r="B43" s="17" t="s">
        <v>46</v>
      </c>
      <c r="C43" s="18" t="s">
        <v>8</v>
      </c>
      <c r="D43" s="12">
        <v>1</v>
      </c>
      <c r="E43" s="28"/>
      <c r="F43" s="14"/>
      <c r="G43" s="39">
        <v>1200</v>
      </c>
      <c r="H43" s="15">
        <f t="shared" si="7"/>
        <v>1200</v>
      </c>
      <c r="I43" s="25">
        <f t="shared" si="8"/>
        <v>1200</v>
      </c>
    </row>
    <row r="44" spans="1:9" ht="33" customHeight="1" x14ac:dyDescent="0.2">
      <c r="A44" s="34">
        <v>41</v>
      </c>
      <c r="B44" s="17" t="s">
        <v>49</v>
      </c>
      <c r="C44" s="18" t="s">
        <v>8</v>
      </c>
      <c r="D44" s="12">
        <v>1</v>
      </c>
      <c r="E44" s="28"/>
      <c r="F44" s="14"/>
      <c r="G44" s="39">
        <v>190</v>
      </c>
      <c r="H44" s="15">
        <f t="shared" si="7"/>
        <v>190</v>
      </c>
      <c r="I44" s="25">
        <f t="shared" si="8"/>
        <v>190</v>
      </c>
    </row>
    <row r="45" spans="1:9" ht="33" customHeight="1" x14ac:dyDescent="0.2">
      <c r="A45" s="6">
        <v>42</v>
      </c>
      <c r="B45" s="17" t="s">
        <v>48</v>
      </c>
      <c r="C45" s="18" t="s">
        <v>8</v>
      </c>
      <c r="D45" s="12">
        <v>1</v>
      </c>
      <c r="E45" s="28"/>
      <c r="F45" s="14"/>
      <c r="G45" s="39">
        <v>170</v>
      </c>
      <c r="H45" s="15">
        <f t="shared" si="7"/>
        <v>170</v>
      </c>
      <c r="I45" s="25">
        <f t="shared" si="8"/>
        <v>170</v>
      </c>
    </row>
    <row r="46" spans="1:9" ht="33" customHeight="1" x14ac:dyDescent="0.2">
      <c r="A46" s="34">
        <v>43</v>
      </c>
      <c r="B46" s="17" t="s">
        <v>50</v>
      </c>
      <c r="C46" s="18" t="s">
        <v>8</v>
      </c>
      <c r="D46" s="12">
        <v>1</v>
      </c>
      <c r="E46" s="28"/>
      <c r="F46" s="14"/>
      <c r="G46" s="39">
        <v>1000</v>
      </c>
      <c r="H46" s="15">
        <f t="shared" si="7"/>
        <v>1000</v>
      </c>
      <c r="I46" s="25">
        <f t="shared" si="8"/>
        <v>1000</v>
      </c>
    </row>
    <row r="47" spans="1:9" x14ac:dyDescent="0.2">
      <c r="A47" s="6"/>
      <c r="B47" s="19" t="s">
        <v>19</v>
      </c>
      <c r="C47" s="20"/>
      <c r="D47" s="21"/>
      <c r="E47" s="22"/>
      <c r="F47" s="23">
        <f>SUM(F5:F46)</f>
        <v>16150</v>
      </c>
      <c r="G47" s="40"/>
      <c r="H47" s="24">
        <f>SUM(H5:H46)</f>
        <v>21890</v>
      </c>
      <c r="I47" s="23">
        <f>SUM(I5:I46)</f>
        <v>38040</v>
      </c>
    </row>
  </sheetData>
  <mergeCells count="4">
    <mergeCell ref="A1:A2"/>
    <mergeCell ref="E1:F1"/>
    <mergeCell ref="I1:I2"/>
    <mergeCell ref="G1:H1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Savin</dc:creator>
  <cp:lastModifiedBy>Vadim Savin</cp:lastModifiedBy>
  <cp:lastPrinted>2026-03-06T18:05:08Z</cp:lastPrinted>
  <dcterms:created xsi:type="dcterms:W3CDTF">2023-09-15T11:07:52Z</dcterms:created>
  <dcterms:modified xsi:type="dcterms:W3CDTF">2026-05-13T14:59:31Z</dcterms:modified>
</cp:coreProperties>
</file>